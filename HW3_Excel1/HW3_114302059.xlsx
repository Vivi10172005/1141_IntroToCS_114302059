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vi/Desktop/"/>
    </mc:Choice>
  </mc:AlternateContent>
  <xr:revisionPtr revIDLastSave="0" documentId="13_ncr:1_{E6C6EE73-C13C-7C4C-BCFC-E21BCF18FD38}" xr6:coauthVersionLast="47" xr6:coauthVersionMax="47" xr10:uidLastSave="{00000000-0000-0000-0000-000000000000}"/>
  <bookViews>
    <workbookView xWindow="0" yWindow="740" windowWidth="29400" windowHeight="17140" xr2:uid="{60C2E2F6-AD98-4042-9BF5-DA3DB7B4AD4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1" l="1"/>
  <c r="L18" i="1"/>
  <c r="L2" i="1"/>
  <c r="H17" i="1"/>
  <c r="D17" i="1"/>
  <c r="C17" i="1"/>
  <c r="J17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K15" i="1" a="1"/>
  <c r="K15" i="1" s="1"/>
  <c r="K14" i="1" a="1"/>
  <c r="K14" i="1" s="1"/>
  <c r="K13" i="1" a="1"/>
  <c r="K13" i="1" s="1"/>
  <c r="K12" i="1" a="1"/>
  <c r="K12" i="1" s="1"/>
  <c r="K11" i="1" a="1"/>
  <c r="K11" i="1" s="1"/>
  <c r="K10" i="1" a="1"/>
  <c r="K10" i="1" s="1"/>
  <c r="K9" i="1" a="1"/>
  <c r="K9" i="1" s="1"/>
  <c r="K8" i="1" a="1"/>
  <c r="K8" i="1" s="1"/>
  <c r="K7" i="1" a="1"/>
  <c r="K7" i="1" s="1"/>
  <c r="K6" i="1" a="1"/>
  <c r="K6" i="1" s="1"/>
  <c r="K5" i="1" a="1"/>
  <c r="K5" i="1" s="1"/>
  <c r="K4" i="1" a="1"/>
  <c r="K4" i="1" s="1"/>
  <c r="K3" i="1" a="1"/>
  <c r="K3" i="1" s="1"/>
  <c r="K2" i="1" a="1"/>
  <c r="K2" i="1" s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<sst xmlns="http://schemas.openxmlformats.org/spreadsheetml/2006/main" count="34" uniqueCount="34">
  <si>
    <t>何大美</t>
  </si>
  <si>
    <t>陳慢慢</t>
  </si>
  <si>
    <t>黃阿坤</t>
  </si>
  <si>
    <t>李大仁</t>
  </si>
  <si>
    <t>陳小奇</t>
  </si>
  <si>
    <t>羅小花</t>
  </si>
  <si>
    <t>李小君</t>
  </si>
  <si>
    <t>李大輝</t>
  </si>
  <si>
    <t>白阿國</t>
  </si>
  <si>
    <t>王小明</t>
  </si>
  <si>
    <t>李大月</t>
  </si>
  <si>
    <t>林大義</t>
  </si>
  <si>
    <t>宋小倫</t>
  </si>
  <si>
    <t>許亮亮</t>
  </si>
  <si>
    <t>number</t>
    <phoneticPr fontId="2" type="noConversion"/>
  </si>
  <si>
    <t>name</t>
    <phoneticPr fontId="2" type="noConversion"/>
  </si>
  <si>
    <t>Exam1</t>
    <phoneticPr fontId="2" type="noConversion"/>
  </si>
  <si>
    <t>Exam2</t>
    <phoneticPr fontId="2" type="noConversion"/>
  </si>
  <si>
    <t>Exam3</t>
    <phoneticPr fontId="2" type="noConversion"/>
  </si>
  <si>
    <t>Exam4</t>
    <phoneticPr fontId="2" type="noConversion"/>
  </si>
  <si>
    <t>Exam5</t>
    <phoneticPr fontId="2" type="noConversion"/>
  </si>
  <si>
    <t>Midterm</t>
    <phoneticPr fontId="2" type="noConversion"/>
  </si>
  <si>
    <t>Q1: Exam_Average</t>
    <phoneticPr fontId="2" type="noConversion"/>
  </si>
  <si>
    <t>Q2: overall score</t>
    <phoneticPr fontId="2" type="noConversion"/>
  </si>
  <si>
    <t>Q3</t>
    <phoneticPr fontId="2" type="noConversion"/>
  </si>
  <si>
    <t>Q4</t>
    <phoneticPr fontId="2" type="noConversion"/>
  </si>
  <si>
    <r>
      <t xml:space="preserve">Q5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</si>
  <si>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Q6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</si>
  <si>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Q7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</si>
  <si>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Q8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</si>
  <si>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Q9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</si>
  <si>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Q10 answer </t>
    </r>
    <r>
      <rPr>
        <sz val="12"/>
        <color theme="1"/>
        <rFont val="Wingdings"/>
        <charset val="2"/>
      </rPr>
      <t>ò</t>
    </r>
    <phoneticPr fontId="2" type="noConversion"/>
  </si>
  <si>
    <t>pass</t>
    <phoneticPr fontId="2" type="noConversion"/>
  </si>
  <si>
    <t>fail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</si>
</sst>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新細明體"/>
      <family val="2"/>
      <charset val="136"/>
      <scheme val="minor"/>
    </font>
    <font>
      <sz val="12"/>
      <color theme="1"/>
      <name val="PMingLiu"/>
      <family val="1"/>
      <charset val="136"/>
    </font>
    <font>
      <sz val="9"/>
      <name val="新細明體"/>
      <family val="2"/>
      <charset val="136"/>
      <scheme val="minor"/>
    </font>
    <font>
      <sz val="12"/>
      <color rgb="FF000000"/>
      <name val="PMingLiu"/>
      <family val="1"/>
      <charset val="136"/>
    </font>
    <font>
      <sz val="12"/>
      <color theme="1"/>
      <name val="Wingdings"/>
      <charset val="2"/>
    </font>
    <font>
      <sz val="12"/>
      <color rgb="FFFF0000"/>
      <name val="新細明體"/>
      <family val="2"/>
      <charset val="136"/>
      <scheme val="minor"/>
    </font>
    <font>
      <sz val="12"/>
      <color rgb="FF00B050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Student's</a:t>
            </a:r>
            <a:r>
              <a:rPr lang="en-US" altLang="zh-TW" baseline="0"/>
              <a:t> overall scores</a:t>
            </a:r>
            <a:endParaRPr lang="zh-TW" altLang="en-US"/>
          </a:p>
        </c:rich>
      </c:tx>
      <c:layout>
        <c:manualLayout>
          <c:xMode val="edge"/>
          <c:yMode val="edge"/>
          <c:x val="0.41388888888888892"/>
          <c:y val="9.25925925925925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 altLang="zh-TW" baseline="0"/>
                      <a:t>4, </a:t>
                    </a:r>
                    <a:fld id="{AC4FEBE7-4AC9-1F40-BB19-F3340ABA2EC3}" type="VALUE">
                      <a:rPr lang="en-US" altLang="zh-TW" baseline="0"/>
                      <a:pPr/>
                      <a:t>[值]</a:t>
                    </a:fld>
                    <a:endParaRPr lang="en-US" altLang="zh-TW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CAD7-674B-83E5-307CE8CFD65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altLang="zh-TW" baseline="0"/>
                      <a:t>3, </a:t>
                    </a:r>
                    <a:fld id="{CCBF78BB-8FFB-1547-8C32-D5A4B4D672E5}" type="VALUE">
                      <a:rPr lang="en-US" altLang="zh-TW" baseline="0"/>
                      <a:pPr/>
                      <a:t>[值]</a:t>
                    </a:fld>
                    <a:endParaRPr lang="en-US" altLang="zh-TW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CAD7-674B-83E5-307CE8CFD65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altLang="zh-TW" baseline="0"/>
                      <a:t>10, </a:t>
                    </a:r>
                    <a:fld id="{93AEBFC6-F9CA-AF4A-8DB3-0D2F1D0FA9D4}" type="VALUE">
                      <a:rPr lang="en-US" altLang="zh-TW" baseline="0"/>
                      <a:pPr/>
                      <a:t>[值]</a:t>
                    </a:fld>
                    <a:endParaRPr lang="en-US" altLang="zh-TW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CAD7-674B-83E5-307CE8CFD65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 altLang="zh-TW" baseline="0"/>
                      <a:t>6, </a:t>
                    </a:r>
                    <a:fld id="{A65D870E-FFE1-3241-8CB3-3A64E00A4EE1}" type="VALUE">
                      <a:rPr lang="en-US" altLang="zh-TW" baseline="0"/>
                      <a:pPr/>
                      <a:t>[值]</a:t>
                    </a:fld>
                    <a:endParaRPr lang="en-US" altLang="zh-TW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CAD7-674B-83E5-307CE8CFD65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 altLang="zh-TW" baseline="0"/>
                      <a:t>2, </a:t>
                    </a:r>
                    <a:fld id="{58F0FDD7-FDFF-1346-9F36-27C4760AB8D9}" type="VALUE">
                      <a:rPr lang="en-US" altLang="zh-TW" baseline="0"/>
                      <a:pPr/>
                      <a:t>[值]</a:t>
                    </a:fld>
                    <a:endParaRPr lang="en-US" altLang="zh-TW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CAD7-674B-83E5-307CE8CFD65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 altLang="zh-TW" baseline="0"/>
                      <a:t>5, </a:t>
                    </a:r>
                    <a:fld id="{543A0A13-027C-E341-AE30-5E0EE14B906F}" type="VALUE">
                      <a:rPr lang="en-US" altLang="zh-TW" baseline="0"/>
                      <a:pPr/>
                      <a:t>[值]</a:t>
                    </a:fld>
                    <a:endParaRPr lang="en-US" altLang="zh-TW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CAD7-674B-83E5-307CE8CFD65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 altLang="zh-TW" baseline="0"/>
                      <a:t>7, </a:t>
                    </a:r>
                    <a:fld id="{0EA825CF-98FA-3E42-81C8-0B6651AEAF26}" type="VALUE">
                      <a:rPr lang="en-US" altLang="zh-TW" baseline="0"/>
                      <a:pPr/>
                      <a:t>[值]</a:t>
                    </a:fld>
                    <a:endParaRPr lang="en-US" altLang="zh-TW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CAD7-674B-83E5-307CE8CFD65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 altLang="zh-TW" baseline="0"/>
                      <a:t>9, </a:t>
                    </a:r>
                    <a:fld id="{C65C7AF9-24C4-184B-A7BB-AFF962676631}" type="VALUE">
                      <a:rPr lang="en-US" altLang="zh-TW" baseline="0"/>
                      <a:pPr/>
                      <a:t>[值]</a:t>
                    </a:fld>
                    <a:endParaRPr lang="en-US" altLang="zh-TW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CAD7-674B-83E5-307CE8CFD65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en-US" altLang="zh-TW" baseline="0"/>
                      <a:t>13, </a:t>
                    </a:r>
                    <a:fld id="{D9D1AD55-DA24-734E-9BD4-B3F17144CEA5}" type="VALUE">
                      <a:rPr lang="en-US" altLang="zh-TW" baseline="0"/>
                      <a:pPr/>
                      <a:t>[值]</a:t>
                    </a:fld>
                    <a:endParaRPr lang="en-US" altLang="zh-TW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CAD7-674B-83E5-307CE8CFD65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en-US" altLang="zh-TW" baseline="0"/>
                      <a:t>1, </a:t>
                    </a:r>
                    <a:fld id="{979A6CA4-7953-EA46-8082-A4C41D7CA1B7}" type="VALUE">
                      <a:rPr lang="en-US" altLang="zh-TW" baseline="0"/>
                      <a:pPr/>
                      <a:t>[值]</a:t>
                    </a:fld>
                    <a:endParaRPr lang="en-US" altLang="zh-TW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CAD7-674B-83E5-307CE8CFD65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r>
                      <a:rPr lang="en-US" altLang="zh-TW" baseline="0"/>
                      <a:t>8, </a:t>
                    </a:r>
                    <a:fld id="{DD6B4C88-30C4-8E40-8E9B-23A0857FA700}" type="VALUE">
                      <a:rPr lang="en-US" altLang="zh-TW" baseline="0"/>
                      <a:pPr/>
                      <a:t>[值]</a:t>
                    </a:fld>
                    <a:endParaRPr lang="en-US" altLang="zh-TW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A-CAD7-674B-83E5-307CE8CFD65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r>
                      <a:rPr lang="en-US" altLang="zh-TW" baseline="0"/>
                      <a:t>11, </a:t>
                    </a:r>
                    <a:fld id="{5AC39988-B6B1-054A-BF7D-5ED843D82D58}" type="VALUE">
                      <a:rPr lang="en-US" altLang="zh-TW" baseline="0"/>
                      <a:pPr/>
                      <a:t>[值]</a:t>
                    </a:fld>
                    <a:endParaRPr lang="en-US" altLang="zh-TW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CAD7-674B-83E5-307CE8CFD65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r>
                      <a:rPr lang="en-US" altLang="zh-TW" baseline="0"/>
                      <a:t>14, </a:t>
                    </a:r>
                    <a:fld id="{54087856-D15C-BD40-BF1E-A47F719D0BC7}" type="VALUE">
                      <a:rPr lang="en-US" altLang="zh-TW" baseline="0"/>
                      <a:pPr/>
                      <a:t>[值]</a:t>
                    </a:fld>
                    <a:endParaRPr lang="en-US" altLang="zh-TW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C-CAD7-674B-83E5-307CE8CFD656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val>
            <c:numRef>
              <c:f>工作表1!$J$2:$J$15</c:f>
              <c:numCache>
                <c:formatCode>General</c:formatCode>
                <c:ptCount val="14"/>
                <c:pt idx="0">
                  <c:v>91.7</c:v>
                </c:pt>
                <c:pt idx="1">
                  <c:v>90</c:v>
                </c:pt>
                <c:pt idx="2">
                  <c:v>81.2</c:v>
                </c:pt>
                <c:pt idx="3">
                  <c:v>80.8</c:v>
                </c:pt>
                <c:pt idx="4">
                  <c:v>84.7</c:v>
                </c:pt>
                <c:pt idx="5">
                  <c:v>80.8</c:v>
                </c:pt>
                <c:pt idx="6">
                  <c:v>77.900000000000006</c:v>
                </c:pt>
                <c:pt idx="7">
                  <c:v>74.2</c:v>
                </c:pt>
                <c:pt idx="8">
                  <c:v>75.2</c:v>
                </c:pt>
                <c:pt idx="9">
                  <c:v>77.599999999999994</c:v>
                </c:pt>
                <c:pt idx="10">
                  <c:v>80.599999999999994</c:v>
                </c:pt>
                <c:pt idx="11">
                  <c:v>59</c:v>
                </c:pt>
                <c:pt idx="12">
                  <c:v>66.900000000000006</c:v>
                </c:pt>
                <c:pt idx="13">
                  <c:v>55.6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E4-8243-B2B2-FD77350D2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0747487"/>
        <c:axId val="602374847"/>
      </c:barChart>
      <c:catAx>
        <c:axId val="430747487"/>
        <c:scaling>
          <c:orientation val="minMax"/>
        </c:scaling>
        <c:delete val="1"/>
        <c:axPos val="b"/>
        <c:majorTickMark val="none"/>
        <c:minorTickMark val="none"/>
        <c:tickLblPos val="nextTo"/>
        <c:crossAx val="602374847"/>
        <c:crosses val="autoZero"/>
        <c:auto val="1"/>
        <c:lblAlgn val="ctr"/>
        <c:lblOffset val="100"/>
        <c:noMultiLvlLbl val="0"/>
      </c:catAx>
      <c:valAx>
        <c:axId val="60237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30747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Proportions</a:t>
            </a:r>
            <a:r>
              <a:rPr lang="en-US" altLang="zh-TW" baseline="0"/>
              <a:t> of "pass" and "fail"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2C7-C944-BE16-21F0A8BACF2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2C7-C944-BE16-21F0A8BACF29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工作表1!$K$17:$K$18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工作表1!$L$17:$L$18</c:f>
              <c:numCache>
                <c:formatCode>General</c:formatCode>
                <c:ptCount val="2"/>
                <c:pt idx="0">
                  <c:v>12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8B-AE45-88D5-BCBEF9B81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958487</xdr:colOff>
      <xdr:row>24</xdr:row>
      <xdr:rowOff>102583</xdr:rowOff>
    </xdr:from>
    <xdr:to>
      <xdr:col>11</xdr:col>
      <xdr:colOff>1328795</xdr:colOff>
      <xdr:row>46</xdr:row>
      <xdr:rowOff>152869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4BA7E89-BF96-BC5C-A2CA-BEF3B2FB54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88143</xdr:colOff>
      <xdr:row>16</xdr:row>
      <xdr:rowOff>163773</xdr:rowOff>
    </xdr:from>
    <xdr:to>
      <xdr:col>18</xdr:col>
      <xdr:colOff>622680</xdr:colOff>
      <xdr:row>31</xdr:row>
      <xdr:rowOff>54211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4EC55EC2-C93C-91C7-B193-5A3B208EB2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1FA0D-67BD-4FEB-B956-7740A55D5973}">
  <dimension ref="A1:L24"/>
  <sheetViews>
    <sheetView tabSelected="1" topLeftCell="B3" zoomScale="55" workbookViewId="0">
      <selection activeCell="N41" sqref="N41"/>
    </sheetView>
  </sheetViews>
  <sheetFormatPr baseColWidth="10" defaultColWidth="8.83203125" defaultRowHeight="15"/>
  <cols>
    <col min="3" max="4" width="13" bestFit="1" customWidth="1"/>
    <col min="8" max="8" width="18.6640625" bestFit="1" customWidth="1"/>
    <col min="10" max="10" width="16.1640625" bestFit="1" customWidth="1"/>
    <col min="11" max="11" width="24.1640625" customWidth="1"/>
    <col min="12" max="12" width="23" customWidth="1"/>
  </cols>
  <sheetData>
    <row r="1" spans="1:1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3" t="s">
        <v>22</v>
      </c>
      <c r="I1" s="1" t="s">
        <v>21</v>
      </c>
      <c r="J1" s="3" t="s">
        <v>23</v>
      </c>
      <c r="K1" s="3" t="s">
        <v>24</v>
      </c>
      <c r="L1" s="3" t="s">
        <v>25</v>
      </c>
    </row>
    <row r="2" spans="1:12">
      <c r="A2" s="1">
        <v>4</v>
      </c>
      <c r="B2" s="1" t="s">
        <v>0</v>
      </c>
      <c r="C2" s="1">
        <v>98</v>
      </c>
      <c r="D2" s="1">
        <v>90</v>
      </c>
      <c r="E2" s="1">
        <v>95</v>
      </c>
      <c r="F2" s="1">
        <v>94</v>
      </c>
      <c r="G2" s="1">
        <v>95</v>
      </c>
      <c r="H2" s="1">
        <f t="shared" ref="H2:H15" si="0">AVERAGE(C2:G2)</f>
        <v>94.4</v>
      </c>
      <c r="I2" s="1">
        <v>89</v>
      </c>
      <c r="J2">
        <f t="shared" ref="J2:J15" si="1">AVERAGE(C2:G2)*50%+I2*50%</f>
        <v>91.7</v>
      </c>
      <c r="K2" t="str" cm="1">
        <f t="array" ref="K2">_xlfn.IFS(J2&gt;=90,"A",J2&gt;=80,"B",J2&gt;=70,"C",J2&gt;=60,"D",J2&lt;60,"F")</f>
        <v>A</v>
      </c>
      <c r="L2" s="5" t="str">
        <f t="shared" ref="L2:L15" si="2">IF(J2&gt;=60,"pass","fail")</f>
        <v>pass</v>
      </c>
    </row>
    <row r="3" spans="1:12">
      <c r="A3" s="1">
        <v>3</v>
      </c>
      <c r="B3" s="1" t="s">
        <v>1</v>
      </c>
      <c r="C3" s="1">
        <v>88</v>
      </c>
      <c r="D3" s="1">
        <v>96</v>
      </c>
      <c r="E3" s="1">
        <v>79</v>
      </c>
      <c r="F3" s="1">
        <v>82</v>
      </c>
      <c r="G3" s="1">
        <v>85</v>
      </c>
      <c r="H3" s="1">
        <f t="shared" si="0"/>
        <v>86</v>
      </c>
      <c r="I3" s="1">
        <v>94</v>
      </c>
      <c r="J3">
        <f t="shared" si="1"/>
        <v>90</v>
      </c>
      <c r="K3" t="str" cm="1">
        <f t="array" ref="K3">_xlfn.IFS(J3&gt;=90,"A",J3&gt;=80,"B",J3&gt;=70,"C",J3&gt;=60,"D",J3&lt;60,"F")</f>
        <v>A</v>
      </c>
      <c r="L3" s="5" t="str">
        <f t="shared" si="2"/>
        <v>pass</v>
      </c>
    </row>
    <row r="4" spans="1:12">
      <c r="A4" s="1">
        <v>10</v>
      </c>
      <c r="B4" s="1" t="s">
        <v>2</v>
      </c>
      <c r="C4" s="1">
        <v>90</v>
      </c>
      <c r="D4" s="1">
        <v>64</v>
      </c>
      <c r="E4" s="1">
        <v>91</v>
      </c>
      <c r="F4" s="1">
        <v>82</v>
      </c>
      <c r="G4" s="1">
        <v>85</v>
      </c>
      <c r="H4" s="1">
        <f t="shared" si="0"/>
        <v>82.4</v>
      </c>
      <c r="I4" s="1">
        <v>80</v>
      </c>
      <c r="J4">
        <f t="shared" si="1"/>
        <v>81.2</v>
      </c>
      <c r="K4" t="str" cm="1">
        <f t="array" ref="K4">_xlfn.IFS(J4&gt;=90,"A",J4&gt;=80,"B",J4&gt;=70,"C",J4&gt;=60,"D",J4&lt;60,"F")</f>
        <v>B</v>
      </c>
      <c r="L4" s="5" t="str">
        <f t="shared" si="2"/>
        <v>pass</v>
      </c>
    </row>
    <row r="5" spans="1:12">
      <c r="A5" s="1">
        <v>6</v>
      </c>
      <c r="B5" s="1" t="s">
        <v>3</v>
      </c>
      <c r="C5" s="1">
        <v>67</v>
      </c>
      <c r="D5" s="1">
        <v>79</v>
      </c>
      <c r="E5" s="1">
        <v>82</v>
      </c>
      <c r="F5" s="1">
        <v>85</v>
      </c>
      <c r="G5" s="1">
        <v>95</v>
      </c>
      <c r="H5" s="1">
        <f t="shared" si="0"/>
        <v>81.599999999999994</v>
      </c>
      <c r="I5" s="1">
        <v>80</v>
      </c>
      <c r="J5">
        <f t="shared" si="1"/>
        <v>80.8</v>
      </c>
      <c r="K5" t="str" cm="1">
        <f t="array" ref="K5">_xlfn.IFS(J5&gt;=90,"A",J5&gt;=80,"B",J5&gt;=70,"C",J5&gt;=60,"D",J5&lt;60,"F")</f>
        <v>B</v>
      </c>
      <c r="L5" s="5" t="str">
        <f t="shared" si="2"/>
        <v>pass</v>
      </c>
    </row>
    <row r="6" spans="1:12">
      <c r="A6" s="1">
        <v>2</v>
      </c>
      <c r="B6" s="1" t="s">
        <v>4</v>
      </c>
      <c r="C6" s="1">
        <v>78</v>
      </c>
      <c r="D6" s="1">
        <v>89</v>
      </c>
      <c r="E6" s="1">
        <v>90</v>
      </c>
      <c r="F6" s="1">
        <v>77</v>
      </c>
      <c r="G6" s="1">
        <v>73</v>
      </c>
      <c r="H6" s="1">
        <f t="shared" si="0"/>
        <v>81.400000000000006</v>
      </c>
      <c r="I6" s="1">
        <v>88</v>
      </c>
      <c r="J6">
        <f t="shared" si="1"/>
        <v>84.7</v>
      </c>
      <c r="K6" t="str" cm="1">
        <f t="array" ref="K6">_xlfn.IFS(J6&gt;=90,"A",J6&gt;=80,"B",J6&gt;=70,"C",J6&gt;=60,"D",J6&lt;60,"F")</f>
        <v>B</v>
      </c>
      <c r="L6" s="5" t="str">
        <f t="shared" si="2"/>
        <v>pass</v>
      </c>
    </row>
    <row r="7" spans="1:12">
      <c r="A7" s="1">
        <v>5</v>
      </c>
      <c r="B7" s="1" t="s">
        <v>5</v>
      </c>
      <c r="C7" s="1">
        <v>87</v>
      </c>
      <c r="D7" s="1">
        <v>76</v>
      </c>
      <c r="E7" s="1">
        <v>78</v>
      </c>
      <c r="F7" s="1">
        <v>82</v>
      </c>
      <c r="G7" s="1">
        <v>80</v>
      </c>
      <c r="H7" s="1">
        <f t="shared" si="0"/>
        <v>80.599999999999994</v>
      </c>
      <c r="I7" s="1">
        <v>81</v>
      </c>
      <c r="J7">
        <f t="shared" si="1"/>
        <v>80.8</v>
      </c>
      <c r="K7" t="str" cm="1">
        <f t="array" ref="K7">_xlfn.IFS(J7&gt;=90,"A",J7&gt;=80,"B",J7&gt;=70,"C",J7&gt;=60,"D",J7&lt;60,"F")</f>
        <v>B</v>
      </c>
      <c r="L7" s="5" t="str">
        <f t="shared" si="2"/>
        <v>pass</v>
      </c>
    </row>
    <row r="8" spans="1:12">
      <c r="A8" s="1">
        <v>7</v>
      </c>
      <c r="B8" s="1" t="s">
        <v>6</v>
      </c>
      <c r="C8" s="1">
        <v>77</v>
      </c>
      <c r="D8" s="1">
        <v>80</v>
      </c>
      <c r="E8" s="1">
        <v>63</v>
      </c>
      <c r="F8" s="1">
        <v>85</v>
      </c>
      <c r="G8" s="1">
        <v>89</v>
      </c>
      <c r="H8" s="1">
        <f t="shared" si="0"/>
        <v>78.8</v>
      </c>
      <c r="I8" s="1">
        <v>77</v>
      </c>
      <c r="J8">
        <f t="shared" si="1"/>
        <v>77.900000000000006</v>
      </c>
      <c r="K8" t="str" cm="1">
        <f t="array" ref="K8">_xlfn.IFS(J8&gt;=90,"A",J8&gt;=80,"B",J8&gt;=70,"C",J8&gt;=60,"D",J8&lt;60,"F")</f>
        <v>C</v>
      </c>
      <c r="L8" s="5" t="str">
        <f t="shared" si="2"/>
        <v>pass</v>
      </c>
    </row>
    <row r="9" spans="1:12">
      <c r="A9" s="1">
        <v>9</v>
      </c>
      <c r="B9" s="1" t="s">
        <v>7</v>
      </c>
      <c r="C9" s="1">
        <v>86</v>
      </c>
      <c r="D9" s="1">
        <v>92</v>
      </c>
      <c r="E9" s="1">
        <v>79</v>
      </c>
      <c r="F9" s="1">
        <v>73</v>
      </c>
      <c r="G9" s="1">
        <v>47</v>
      </c>
      <c r="H9" s="1">
        <f t="shared" si="0"/>
        <v>75.400000000000006</v>
      </c>
      <c r="I9" s="1">
        <v>73</v>
      </c>
      <c r="J9">
        <f t="shared" si="1"/>
        <v>74.2</v>
      </c>
      <c r="K9" t="str" cm="1">
        <f t="array" ref="K9">_xlfn.IFS(J9&gt;=90,"A",J9&gt;=80,"B",J9&gt;=70,"C",J9&gt;=60,"D",J9&lt;60,"F")</f>
        <v>C</v>
      </c>
      <c r="L9" s="5" t="str">
        <f t="shared" si="2"/>
        <v>pass</v>
      </c>
    </row>
    <row r="10" spans="1:12">
      <c r="A10" s="1">
        <v>13</v>
      </c>
      <c r="B10" s="1" t="s">
        <v>8</v>
      </c>
      <c r="C10" s="1">
        <v>67</v>
      </c>
      <c r="D10" s="1">
        <v>88</v>
      </c>
      <c r="E10" s="1">
        <v>71</v>
      </c>
      <c r="F10" s="1">
        <v>44</v>
      </c>
      <c r="G10" s="1">
        <v>97</v>
      </c>
      <c r="H10" s="1">
        <f t="shared" si="0"/>
        <v>73.400000000000006</v>
      </c>
      <c r="I10" s="1">
        <v>77</v>
      </c>
      <c r="J10">
        <f t="shared" si="1"/>
        <v>75.2</v>
      </c>
      <c r="K10" t="str" cm="1">
        <f t="array" ref="K10">_xlfn.IFS(J10&gt;=90,"A",J10&gt;=80,"B",J10&gt;=70,"C",J10&gt;=60,"D",J10&lt;60,"F")</f>
        <v>C</v>
      </c>
      <c r="L10" s="5" t="str">
        <f t="shared" si="2"/>
        <v>pass</v>
      </c>
    </row>
    <row r="11" spans="1:12">
      <c r="A11" s="1">
        <v>1</v>
      </c>
      <c r="B11" s="1" t="s">
        <v>9</v>
      </c>
      <c r="C11" s="1">
        <v>65</v>
      </c>
      <c r="D11" s="1">
        <v>54</v>
      </c>
      <c r="E11" s="1">
        <v>88</v>
      </c>
      <c r="F11" s="1">
        <v>92</v>
      </c>
      <c r="G11" s="1">
        <v>67</v>
      </c>
      <c r="H11" s="1">
        <f t="shared" si="0"/>
        <v>73.2</v>
      </c>
      <c r="I11" s="1">
        <v>82</v>
      </c>
      <c r="J11">
        <f t="shared" si="1"/>
        <v>77.599999999999994</v>
      </c>
      <c r="K11" t="str" cm="1">
        <f t="array" ref="K11">_xlfn.IFS(J11&gt;=90,"A",J11&gt;=80,"B",J11&gt;=70,"C",J11&gt;=60,"D",J11&lt;60,"F")</f>
        <v>C</v>
      </c>
      <c r="L11" s="5" t="str">
        <f t="shared" si="2"/>
        <v>pass</v>
      </c>
    </row>
    <row r="12" spans="1:12">
      <c r="A12" s="1">
        <v>8</v>
      </c>
      <c r="B12" s="1" t="s">
        <v>10</v>
      </c>
      <c r="C12" s="1">
        <v>72</v>
      </c>
      <c r="D12" s="1">
        <v>83</v>
      </c>
      <c r="E12" s="1">
        <v>62</v>
      </c>
      <c r="F12" s="2">
        <v>67</v>
      </c>
      <c r="G12" s="1">
        <v>82</v>
      </c>
      <c r="H12" s="1">
        <f t="shared" si="0"/>
        <v>73.2</v>
      </c>
      <c r="I12" s="1">
        <v>88</v>
      </c>
      <c r="J12">
        <f t="shared" si="1"/>
        <v>80.599999999999994</v>
      </c>
      <c r="K12" t="str" cm="1">
        <f t="array" ref="K12">_xlfn.IFS(J12&gt;=90,"A",J12&gt;=80,"B",J12&gt;=70,"C",J12&gt;=60,"D",J12&lt;60,"F")</f>
        <v>B</v>
      </c>
      <c r="L12" s="5" t="str">
        <f t="shared" si="2"/>
        <v>pass</v>
      </c>
    </row>
    <row r="13" spans="1:12">
      <c r="A13" s="1">
        <v>12</v>
      </c>
      <c r="B13" s="1" t="s">
        <v>11</v>
      </c>
      <c r="C13" s="1">
        <v>72</v>
      </c>
      <c r="D13" s="1">
        <v>35</v>
      </c>
      <c r="E13" s="1">
        <v>34</v>
      </c>
      <c r="F13" s="1">
        <v>97</v>
      </c>
      <c r="G13" s="1">
        <v>92</v>
      </c>
      <c r="H13" s="1">
        <f t="shared" si="0"/>
        <v>66</v>
      </c>
      <c r="I13" s="1">
        <v>52</v>
      </c>
      <c r="J13">
        <f t="shared" si="1"/>
        <v>59</v>
      </c>
      <c r="K13" t="str" cm="1">
        <f t="array" ref="K13">_xlfn.IFS(J13&gt;=90,"A",J13&gt;=80,"B",J13&gt;=70,"C",J13&gt;=60,"D",J13&lt;60,"F")</f>
        <v>F</v>
      </c>
      <c r="L13" s="6" t="str">
        <f t="shared" si="2"/>
        <v>fail</v>
      </c>
    </row>
    <row r="14" spans="1:12">
      <c r="A14" s="1">
        <v>11</v>
      </c>
      <c r="B14" s="1" t="s">
        <v>12</v>
      </c>
      <c r="C14" s="1">
        <v>81</v>
      </c>
      <c r="D14" s="1">
        <v>55</v>
      </c>
      <c r="E14" s="1">
        <v>62</v>
      </c>
      <c r="F14" s="1">
        <v>47</v>
      </c>
      <c r="G14" s="1">
        <v>79</v>
      </c>
      <c r="H14" s="1">
        <f t="shared" si="0"/>
        <v>64.8</v>
      </c>
      <c r="I14" s="1">
        <v>69</v>
      </c>
      <c r="J14">
        <f t="shared" si="1"/>
        <v>66.900000000000006</v>
      </c>
      <c r="K14" t="str" cm="1">
        <f t="array" ref="K14">_xlfn.IFS(J14&gt;=90,"A",J14&gt;=80,"B",J14&gt;=70,"C",J14&gt;=60,"D",J14&lt;60,"F")</f>
        <v>D</v>
      </c>
      <c r="L14" s="5" t="str">
        <f t="shared" si="2"/>
        <v>pass</v>
      </c>
    </row>
    <row r="15" spans="1:12">
      <c r="A15" s="1">
        <v>14</v>
      </c>
      <c r="B15" s="1" t="s">
        <v>13</v>
      </c>
      <c r="C15" s="1">
        <v>59</v>
      </c>
      <c r="D15" s="1">
        <v>77</v>
      </c>
      <c r="E15" s="1">
        <v>71</v>
      </c>
      <c r="F15" s="1">
        <v>45</v>
      </c>
      <c r="G15" s="1">
        <v>34</v>
      </c>
      <c r="H15" s="1">
        <f t="shared" si="0"/>
        <v>57.2</v>
      </c>
      <c r="I15" s="1">
        <v>54</v>
      </c>
      <c r="J15">
        <f t="shared" si="1"/>
        <v>55.6</v>
      </c>
      <c r="K15" t="str" cm="1">
        <f t="array" ref="K15">_xlfn.IFS(J15&gt;=90,"A",J15&gt;=80,"B",J15&gt;=70,"C",J15&gt;=60,"D",J15&lt;60,"F")</f>
        <v>F</v>
      </c>
      <c r="L15" s="6" t="str">
        <f t="shared" si="2"/>
        <v>fail</v>
      </c>
    </row>
    <row r="16" spans="1:12" ht="16">
      <c r="C16" s="4" t="s">
        <v>27</v>
      </c>
      <c r="D16" s="4" t="s">
        <v>28</v>
      </c>
      <c r="H16" s="4" t="s">
        <v>29</v>
      </c>
      <c r="J16" s="4" t="s">
        <v>26</v>
      </c>
      <c r="L16" s="4" t="s">
        <v>31</v>
      </c>
    </row>
    <row r="17" spans="3:12">
      <c r="C17">
        <f>LARGE(C2:C15,1)</f>
        <v>98</v>
      </c>
      <c r="D17">
        <f>LARGE(D2:D15,2)</f>
        <v>92</v>
      </c>
      <c r="H17" s="1">
        <f>COUNTIF(H2:H15,"&lt;80")</f>
        <v>8</v>
      </c>
      <c r="J17">
        <f>AVERAGE(J2:J15)</f>
        <v>76.871428571428581</v>
      </c>
      <c r="K17" t="s">
        <v>32</v>
      </c>
      <c r="L17">
        <f>COUNTIF(L2:L15,"pass")</f>
        <v>12</v>
      </c>
    </row>
    <row r="18" spans="3:12">
      <c r="H18" s="1"/>
      <c r="K18" t="s">
        <v>33</v>
      </c>
      <c r="L18">
        <f>COUNTIF(L2:L15,"fail")</f>
        <v>2</v>
      </c>
    </row>
    <row r="24" spans="3:12" ht="16">
      <c r="J24" s="4" t="s">
        <v>30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芷嫺 簡</dc:creator>
  <cp:lastModifiedBy>鄭弘敏</cp:lastModifiedBy>
  <dcterms:created xsi:type="dcterms:W3CDTF">2023-10-19T05:27:10Z</dcterms:created>
  <dcterms:modified xsi:type="dcterms:W3CDTF">2025-10-08T16:35:35Z</dcterms:modified>
</cp:coreProperties>
</file>